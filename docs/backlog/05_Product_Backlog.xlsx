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e2f7b4df5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c2204f6402cb4d88"/>
    <x:sheet xmlns:r="http://schemas.openxmlformats.org/officeDocument/2006/relationships" name="Sprint Summary" sheetId="2" r:id="Rf1d663ffd2a94fdc"/>
    <x:sheet xmlns:r="http://schemas.openxmlformats.org/officeDocument/2006/relationships" name="Instructions" sheetId="3" r:id="Rcb6eaa477b6346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0"/>
      <x:color rgb="FF7F6000"/>
      <x:name val="Carlito"/>
    </x:font>
    <x:font>
      <x:b/>
      <x:sz val="10"/>
      <x:color rgb="FFFFFFFF"/>
      <x:name val="Carlito"/>
    </x:font>
    <x:font>
      <x:sz val="9"/>
      <x:name val="Carlito"/>
    </x:font>
    <x:font>
      <x:sz val="10"/>
      <x:name val="Carlito"/>
    </x:font>
    <x:font>
      <x:b/>
      <x:sz val="11"/>
      <x:color rgb="FFFFFFFF"/>
      <x:name val="Carlito"/>
    </x:font>
    <x:font>
      <x:sz val="1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</x:fills>
  <x:borders count="3">
    <x:border/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horizontal="center" vertical="center" wrapText="1"/>
    </x:xf>
    <x:xf numFmtId="200" fontId="6" fillId="0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8b90b1ab64df2" /><Relationship Type="http://schemas.openxmlformats.org/officeDocument/2006/relationships/theme" Target="/xl/theme/theme1.xml" Id="Rba6ed5226bfd4787" /><Relationship Type="http://schemas.openxmlformats.org/officeDocument/2006/relationships/sharedStrings" Target="/xl/sharedStrings.xml" Id="R4df4546ca70444a2" /><Relationship Type="http://schemas.openxmlformats.org/officeDocument/2006/relationships/worksheet" Target="/xl/worksheets/sheet1.xml" Id="Rc2204f6402cb4d88" /><Relationship Type="http://schemas.openxmlformats.org/officeDocument/2006/relationships/worksheet" Target="/xl/worksheets/sheet2.xml" Id="Rf1d663ffd2a94fdc" /><Relationship Type="http://schemas.openxmlformats.org/officeDocument/2006/relationships/worksheet" Target="/xl/worksheets/sheet3.xml" Id="Rcb6eaa477b6346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08669c87ae45a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Backlog Items</c:v>
          </c:tx>
          <c:cat>
            <c:strRef>
              <c:f>'Sprint Summary'!$A$4:$A$11</c:f>
              <c:strCache>
                <c:ptCount val="0"/>
              </c:strCache>
            </c:strRef>
          </c:cat>
          <c:val>
            <c:numRef>
              <c:f>'Sprint Summary'!$C$4:$C$11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 Points</c:v>
          </c:tx>
          <c:cat>
            <c:strRef>
              <c:f>'Sprint Summary'!$A$4:$A$11</c:f>
              <c:strCache>
                <c:ptCount val="0"/>
              </c:strCache>
            </c:strRef>
          </c:cat>
          <c:val>
            <c:numRef>
              <c:f>'Sprint Summary'!$D$4:$D$11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08669c87ae45a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BacklogTable" displayName="ProductBacklogTable" ref="A5:J40" headerRowCount="1">
  <x:tableColumns count="10">
    <x:tableColumn id="1" name="ID"/>
    <x:tableColumn id="2" name="Backlog Item"/>
    <x:tableColumn id="3" name="Priority"/>
    <x:tableColumn id="4" name="Planned Sprint"/>
    <x:tableColumn id="5" name="Story Points"/>
    <x:tableColumn id="6" name="Dependencies"/>
    <x:tableColumn id="7" name="Related User Stories"/>
    <x:tableColumn id="8" name="Definition of Done"/>
    <x:tableColumn id="9" name="Status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printSummaryTable" displayName="SprintSummaryTable" ref="A3:H11" headerRowCount="1">
  <x:tableColumns count="8">
    <x:tableColumn id="1" name="Sprint"/>
    <x:tableColumn id="2" name="Main Goal"/>
    <x:tableColumn id="3" name="Backlog Items"/>
    <x:tableColumn id="4" name="Total Points"/>
    <x:tableColumn id="5" name="Ready for Review"/>
    <x:tableColumn id="6" name="Done"/>
    <x:tableColumn id="7" name="Not Started"/>
    <x:tableColumn id="8" name="Progress"/>
  </x:tableColumns>
  <x:tableStyleInfo name="TableStyleMedium2" showRowStripes="1"/>
</x:table>
</file>

<file path=xl/tables/table3.xml><?xml version="1.0" encoding="utf-8"?>
<x:table xmlns:x="http://schemas.openxmlformats.org/spreadsheetml/2006/main" id="3" name="InstructionsTable" displayName="InstructionsTable" ref="A3:D10" headerRowCount="1">
  <x:tableColumns count="4">
    <x:tableColumn id="1" name="Step"/>
    <x:tableColumn id="2" name="What to Do"/>
    <x:tableColumn id="3" name="When"/>
    <x:tableColumn id="4" name="Important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4957c45ebf4e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edc29ea7dca46ed" /><Relationship Type="http://schemas.openxmlformats.org/officeDocument/2006/relationships/table" Target="/xl/tables/table2.xml" Id="Rfd15bc42a0064e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8b59247c3549c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3" hidden="0" customWidth="1"/>
    <x:col min="3" max="3" width="11" hidden="0" customWidth="1"/>
    <x:col min="4" max="4" width="12" hidden="0" customWidth="1"/>
    <x:col min="5" max="5" width="11" hidden="0" customWidth="1"/>
    <x:col min="6" max="6" width="18" hidden="0" customWidth="1"/>
    <x:col min="7" max="7" width="23" hidden="0" customWidth="1"/>
    <x:col min="8" max="8" width="38" hidden="0" customWidth="1"/>
    <x:col min="9" max="9" width="18" hidden="0" customWidth="1"/>
    <x:col min="10" max="10" width="30" hidden="0" customWidth="1"/>
  </x:cols>
  <x:sheetData>
    <x:row r="1" ht="30" customHeight="1">
      <x:c r="A1" s="5" t="str">
        <x:v>Hotel Reservation Management System - Product Backlog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3" t="str">
        <x:v>Scope baseline: one medium-sized hotel, approximately 80 rooms, employee-only web system.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24" customHeight="1">
      <x:c r="A3" s="21" t="str">
        <x:v>Sprint 1 items are marked Ready for Review. Change them to Done only after supervisor acceptance. The backlog includes required UML/documentation artifacts for Sprints 2-6.</x:v>
      </x:c>
      <x:c r="B3" s="21"/>
      <x:c r="C3" s="21"/>
      <x:c r="D3" s="21"/>
      <x:c r="E3" s="21"/>
      <x:c r="F3" s="21"/>
      <x:c r="G3" s="21"/>
      <x:c r="H3" s="21"/>
      <x:c r="I3" s="21"/>
      <x:c r="J3" s="21"/>
    </x:row>
    <x:row r="5" ht="34" customHeight="1">
      <x:c r="A5" s="30" t="str">
        <x:v>ID</x:v>
      </x:c>
      <x:c r="B5" s="30" t="str">
        <x:v>Backlog Item</x:v>
      </x:c>
      <x:c r="C5" s="30" t="str">
        <x:v>Priority</x:v>
      </x:c>
      <x:c r="D5" s="30" t="str">
        <x:v>Planned Sprint</x:v>
      </x:c>
      <x:c r="E5" s="30" t="str">
        <x:v>Story Points</x:v>
      </x:c>
      <x:c r="F5" s="30" t="str">
        <x:v>Dependencies</x:v>
      </x:c>
      <x:c r="G5" s="30" t="str">
        <x:v>Related User Stories</x:v>
      </x:c>
      <x:c r="H5" s="30" t="str">
        <x:v>Definition of Done</x:v>
      </x:c>
      <x:c r="I5" s="30" t="str">
        <x:v>Status</x:v>
      </x:c>
      <x:c r="J5" s="30" t="str">
        <x:v>Notes</x:v>
      </x:c>
    </x:row>
    <x:row r="6" ht="48" customHeight="1">
      <x:c r="A6" s="42" t="str">
        <x:v>PBI-01</x:v>
      </x:c>
      <x:c r="B6" s="38" t="str">
        <x:v>Approve project scope, assumptions, and exclusions</x:v>
      </x:c>
      <x:c r="C6" s="42" t="str">
        <x:v>Must</x:v>
      </x:c>
      <x:c r="D6" s="42" t="n">
        <x:v>1</x:v>
      </x:c>
      <x:c r="E6" s="42" t="n">
        <x:v>3</x:v>
      </x:c>
      <x:c r="F6" s="38" t="str">
        <x:v>—</x:v>
      </x:c>
      <x:c r="G6" s="38" t="str">
        <x:v>—</x:v>
      </x:c>
      <x:c r="H6" s="38" t="str">
        <x:v>Scope accepted and consistent across SRS, use cases, and ERD.</x:v>
      </x:c>
      <x:c r="I6" s="42" t="str">
        <x:v>Ready for Review</x:v>
      </x:c>
      <x:c r="J6" s="38" t="str">
        <x:v>Change to Done after Sprint 1 is accepted by the supervisor.</x:v>
      </x:c>
    </x:row>
    <x:row r="7" ht="48" customHeight="1">
      <x:c r="A7" s="42" t="str">
        <x:v>PBI-02</x:v>
      </x:c>
      <x:c r="B7" s="38" t="str">
        <x:v>Complete comparative analysis of five existing PMS products</x:v>
      </x:c>
      <x:c r="C7" s="42" t="str">
        <x:v>Must</x:v>
      </x:c>
      <x:c r="D7" s="42" t="n">
        <x:v>1</x:v>
      </x:c>
      <x:c r="E7" s="42" t="n">
        <x:v>5</x:v>
      </x:c>
      <x:c r="F7" s="38" t="str">
        <x:v>PBI-01</x:v>
      </x:c>
      <x:c r="G7" s="38" t="str">
        <x:v>—</x:v>
      </x:c>
      <x:c r="H7" s="38" t="str">
        <x:v>Five official-source comparisons and a project conclusion are documented.</x:v>
      </x:c>
      <x:c r="I7" s="42" t="str">
        <x:v>Ready for Review</x:v>
      </x:c>
      <x:c r="J7" s="38" t="str">
        <x:v>Change to Done after Sprint 1 is accepted by the supervisor.</x:v>
      </x:c>
    </x:row>
    <x:row r="8" ht="48" customHeight="1">
      <x:c r="A8" s="42" t="str">
        <x:v>PBI-03</x:v>
      </x:c>
      <x:c r="B8" s="38" t="str">
        <x:v>Baseline functional and non-functional requirements</x:v>
      </x:c>
      <x:c r="C8" s="42" t="str">
        <x:v>Must</x:v>
      </x:c>
      <x:c r="D8" s="42" t="n">
        <x:v>1</x:v>
      </x:c>
      <x:c r="E8" s="42" t="n">
        <x:v>8</x:v>
      </x:c>
      <x:c r="F8" s="38" t="str">
        <x:v>PBI-01</x:v>
      </x:c>
      <x:c r="G8" s="38" t="str">
        <x:v>US-01–US-24</x:v>
      </x:c>
      <x:c r="H8" s="38" t="str">
        <x:v>All mandatory requirements are uniquely identified and reviewable.</x:v>
      </x:c>
      <x:c r="I8" s="42" t="str">
        <x:v>Ready for Review</x:v>
      </x:c>
      <x:c r="J8" s="38" t="str">
        <x:v>Change to Done after Sprint 1 is accepted by the supervisor.</x:v>
      </x:c>
    </x:row>
    <x:row r="9" ht="48" customHeight="1">
      <x:c r="A9" s="42" t="str">
        <x:v>PBI-04</x:v>
      </x:c>
      <x:c r="B9" s="38" t="str">
        <x:v>Prepare user stories and initial product backlog</x:v>
      </x:c>
      <x:c r="C9" s="42" t="str">
        <x:v>Must</x:v>
      </x:c>
      <x:c r="D9" s="42" t="n">
        <x:v>1</x:v>
      </x:c>
      <x:c r="E9" s="42" t="n">
        <x:v>5</x:v>
      </x:c>
      <x:c r="F9" s="38" t="str">
        <x:v>PBI-03</x:v>
      </x:c>
      <x:c r="G9" s="38" t="str">
        <x:v>US-01–US-24</x:v>
      </x:c>
      <x:c r="H9" s="38" t="str">
        <x:v>Stories have roles, value, acceptance conditions, priority, and sprint.</x:v>
      </x:c>
      <x:c r="I9" s="42" t="str">
        <x:v>Ready for Review</x:v>
      </x:c>
      <x:c r="J9" s="38" t="str">
        <x:v>Change to Done after Sprint 1 is accepted by the supervisor.</x:v>
      </x:c>
    </x:row>
    <x:row r="10" ht="48" customHeight="1">
      <x:c r="A10" s="42" t="str">
        <x:v>PBI-05</x:v>
      </x:c>
      <x:c r="B10" s="38" t="str">
        <x:v>Create UML use case model</x:v>
      </x:c>
      <x:c r="C10" s="42" t="str">
        <x:v>Must</x:v>
      </x:c>
      <x:c r="D10" s="42" t="n">
        <x:v>1</x:v>
      </x:c>
      <x:c r="E10" s="42" t="n">
        <x:v>3</x:v>
      </x:c>
      <x:c r="F10" s="38" t="str">
        <x:v>PBI-03</x:v>
      </x:c>
      <x:c r="G10" s="38" t="str">
        <x:v>US-01–US-24</x:v>
      </x:c>
      <x:c r="H10" s="38" t="str">
        <x:v>Actors and use cases match the documented roles and functions.</x:v>
      </x:c>
      <x:c r="I10" s="42" t="str">
        <x:v>Ready for Review</x:v>
      </x:c>
      <x:c r="J10" s="38" t="str">
        <x:v>Change to Done after Sprint 1 is accepted by the supervisor.</x:v>
      </x:c>
    </x:row>
    <x:row r="11" ht="48" customHeight="1">
      <x:c r="A11" s="42" t="str">
        <x:v>PBI-06</x:v>
      </x:c>
      <x:c r="B11" s="38" t="str">
        <x:v>Create initial ERD</x:v>
      </x:c>
      <x:c r="C11" s="42" t="str">
        <x:v>Must</x:v>
      </x:c>
      <x:c r="D11" s="42" t="n">
        <x:v>1</x:v>
      </x:c>
      <x:c r="E11" s="42" t="n">
        <x:v>5</x:v>
      </x:c>
      <x:c r="F11" s="38" t="str">
        <x:v>PBI-03</x:v>
      </x:c>
      <x:c r="G11" s="38" t="str">
        <x:v>US-01–US-23</x:v>
      </x:c>
      <x:c r="H11" s="38" t="str">
        <x:v>Entities support reservations, rooms, payments, statuses, and audit history.</x:v>
      </x:c>
      <x:c r="I11" s="42" t="str">
        <x:v>Ready for Review</x:v>
      </x:c>
      <x:c r="J11" s="38" t="str">
        <x:v>Change to Done after Sprint 1 is accepted by the supervisor.</x:v>
      </x:c>
    </x:row>
    <x:row r="12" ht="48" customHeight="1">
      <x:c r="A12" s="42" t="str">
        <x:v>PBI-07</x:v>
      </x:c>
      <x:c r="B12" s="38" t="str">
        <x:v>Initialize Git repository and project folder structure</x:v>
      </x:c>
      <x:c r="C12" s="42" t="str">
        <x:v>Must</x:v>
      </x:c>
      <x:c r="D12" s="42" t="n">
        <x:v>2</x:v>
      </x:c>
      <x:c r="E12" s="42" t="n">
        <x:v>2</x:v>
      </x:c>
      <x:c r="F12" s="38" t="str">
        <x:v>Sprint 1 approval</x:v>
      </x:c>
      <x:c r="G12" s="38" t="str">
        <x:v>—</x:v>
      </x:c>
      <x:c r="H12" s="38" t="str">
        <x:v>Repository contains meaningful initial commits and required directories.</x:v>
      </x:c>
      <x:c r="I12" s="42" t="str">
        <x:v>Not Started</x:v>
      </x:c>
      <x:c r="J12" s="38" t="str"/>
    </x:row>
    <x:row r="13" ht="48" customHeight="1">
      <x:c r="A13" s="42" t="str">
        <x:v>PBI-08</x:v>
      </x:c>
      <x:c r="B13" s="38" t="str">
        <x:v>Initialize Java 21 Spring Boot Maven project</x:v>
      </x:c>
      <x:c r="C13" s="42" t="str">
        <x:v>Must</x:v>
      </x:c>
      <x:c r="D13" s="42" t="n">
        <x:v>2</x:v>
      </x:c>
      <x:c r="E13" s="42" t="n">
        <x:v>3</x:v>
      </x:c>
      <x:c r="F13" s="38" t="str">
        <x:v>PBI-07</x:v>
      </x:c>
      <x:c r="G13" s="38" t="str">
        <x:v>—</x:v>
      </x:c>
      <x:c r="H13" s="38" t="str">
        <x:v>Project builds and starts without errors.</x:v>
      </x:c>
      <x:c r="I13" s="42" t="str">
        <x:v>Not Started</x:v>
      </x:c>
      <x:c r="J13" s="38" t="str"/>
    </x:row>
    <x:row r="14" ht="48" customHeight="1">
      <x:c r="A14" s="42" t="str">
        <x:v>PBI-09</x:v>
      </x:c>
      <x:c r="B14" s="38" t="str">
        <x:v>Configure PostgreSQL connection and Flyway migrations</x:v>
      </x:c>
      <x:c r="C14" s="42" t="str">
        <x:v>Must</x:v>
      </x:c>
      <x:c r="D14" s="42" t="n">
        <x:v>2</x:v>
      </x:c>
      <x:c r="E14" s="42" t="n">
        <x:v>5</x:v>
      </x:c>
      <x:c r="F14" s="38" t="str">
        <x:v>PBI-08</x:v>
      </x:c>
      <x:c r="G14" s="38" t="str">
        <x:v>—</x:v>
      </x:c>
      <x:c r="H14" s="38" t="str">
        <x:v>Application connects and creates the approved initial schema.</x:v>
      </x:c>
      <x:c r="I14" s="42" t="str">
        <x:v>Not Started</x:v>
      </x:c>
      <x:c r="J14" s="38" t="str"/>
    </x:row>
    <x:row r="15" ht="48" customHeight="1">
      <x:c r="A15" s="42" t="str">
        <x:v>PBI-10</x:v>
      </x:c>
      <x:c r="B15" s="38" t="str">
        <x:v>Implement layered package structure and base entities</x:v>
      </x:c>
      <x:c r="C15" s="42" t="str">
        <x:v>Must</x:v>
      </x:c>
      <x:c r="D15" s="42" t="n">
        <x:v>2</x:v>
      </x:c>
      <x:c r="E15" s="42" t="n">
        <x:v>5</x:v>
      </x:c>
      <x:c r="F15" s="38" t="str">
        <x:v>PBI-09</x:v>
      </x:c>
      <x:c r="G15" s="38" t="str">
        <x:v>—</x:v>
      </x:c>
      <x:c r="H15" s="38" t="str">
        <x:v>Presentation, service, domain, and repository responsibilities are separated.</x:v>
      </x:c>
      <x:c r="I15" s="42" t="str">
        <x:v>Not Started</x:v>
      </x:c>
      <x:c r="J15" s="38" t="str"/>
    </x:row>
    <x:row r="16" ht="48" customHeight="1">
      <x:c r="A16" s="42" t="str">
        <x:v>PBI-11</x:v>
      </x:c>
      <x:c r="B16" s="38" t="str">
        <x:v>Implement authentication and role model</x:v>
      </x:c>
      <x:c r="C16" s="42" t="str">
        <x:v>Must</x:v>
      </x:c>
      <x:c r="D16" s="42" t="n">
        <x:v>3</x:v>
      </x:c>
      <x:c r="E16" s="42" t="n">
        <x:v>8</x:v>
      </x:c>
      <x:c r="F16" s="38" t="str">
        <x:v>PBI-10</x:v>
      </x:c>
      <x:c r="G16" s="38" t="str">
        <x:v>US-01; US-02; US-23; US-24</x:v>
      </x:c>
      <x:c r="H16" s="38" t="str">
        <x:v>Active users can log in; permissions are server-side enforced.</x:v>
      </x:c>
      <x:c r="I16" s="42" t="str">
        <x:v>Not Started</x:v>
      </x:c>
      <x:c r="J16" s="38" t="str"/>
    </x:row>
    <x:row r="17" ht="48" customHeight="1">
      <x:c r="A17" s="42" t="str">
        <x:v>PBI-12</x:v>
      </x:c>
      <x:c r="B17" s="38" t="str">
        <x:v>Implement room type, room, and rate CRUD</x:v>
      </x:c>
      <x:c r="C17" s="42" t="str">
        <x:v>Must</x:v>
      </x:c>
      <x:c r="D17" s="42" t="n">
        <x:v>3</x:v>
      </x:c>
      <x:c r="E17" s="42" t="n">
        <x:v>8</x:v>
      </x:c>
      <x:c r="F17" s="38" t="str">
        <x:v>PBI-10</x:v>
      </x:c>
      <x:c r="G17" s="38" t="str">
        <x:v>US-03; US-04; US-18</x:v>
      </x:c>
      <x:c r="H17" s="38" t="str">
        <x:v>Master data validates uniqueness, capacity, status, and historical preservation.</x:v>
      </x:c>
      <x:c r="I17" s="42" t="str">
        <x:v>Not Started</x:v>
      </x:c>
      <x:c r="J17" s="38" t="str"/>
    </x:row>
    <x:row r="18" ht="48" customHeight="1">
      <x:c r="A18" s="42" t="str">
        <x:v>PBI-13</x:v>
      </x:c>
      <x:c r="B18" s="38" t="str">
        <x:v>Implement guest CRUD and search</x:v>
      </x:c>
      <x:c r="C18" s="42" t="str">
        <x:v>Must</x:v>
      </x:c>
      <x:c r="D18" s="42" t="n">
        <x:v>3</x:v>
      </x:c>
      <x:c r="E18" s="42" t="n">
        <x:v>5</x:v>
      </x:c>
      <x:c r="F18" s="38" t="str">
        <x:v>PBI-10</x:v>
      </x:c>
      <x:c r="G18" s="38" t="str">
        <x:v>US-06; US-07</x:v>
      </x:c>
      <x:c r="H18" s="38" t="str">
        <x:v>Guests can be created, found, updated, and duplicate warnings are shown.</x:v>
      </x:c>
      <x:c r="I18" s="42" t="str">
        <x:v>Not Started</x:v>
      </x:c>
      <x:c r="J18" s="38" t="str"/>
    </x:row>
    <x:row r="19" ht="48" customHeight="1">
      <x:c r="A19" s="42" t="str">
        <x:v>PBI-14</x:v>
      </x:c>
      <x:c r="B19" s="38" t="str">
        <x:v>Implement availability calculation service</x:v>
      </x:c>
      <x:c r="C19" s="42" t="str">
        <x:v>Must</x:v>
      </x:c>
      <x:c r="D19" s="42" t="n">
        <x:v>3</x:v>
      </x:c>
      <x:c r="E19" s="42" t="n">
        <x:v>8</x:v>
      </x:c>
      <x:c r="F19" s="38" t="str">
        <x:v>PBI-12</x:v>
      </x:c>
      <x:c r="G19" s="38" t="str">
        <x:v>US-05</x:v>
      </x:c>
      <x:c r="H19" s="38" t="str">
        <x:v>Date overlap, capacity, status, and maintenance rules are tested.</x:v>
      </x:c>
      <x:c r="I19" s="42" t="str">
        <x:v>Not Started</x:v>
      </x:c>
      <x:c r="J19" s="38" t="str"/>
    </x:row>
    <x:row r="20" ht="48" customHeight="1">
      <x:c r="A20" s="42" t="str">
        <x:v>PBI-15</x:v>
      </x:c>
      <x:c r="B20" s="38" t="str">
        <x:v>Implement reservation CRUD and booking reference generation</x:v>
      </x:c>
      <x:c r="C20" s="42" t="str">
        <x:v>Must</x:v>
      </x:c>
      <x:c r="D20" s="42" t="n">
        <x:v>3</x:v>
      </x:c>
      <x:c r="E20" s="42" t="n">
        <x:v>13</x:v>
      </x:c>
      <x:c r="F20" s="38" t="str">
        <x:v>PBI-13; PBI-14</x:v>
      </x:c>
      <x:c r="G20" s="38" t="str">
        <x:v>US-08; US-09; US-10</x:v>
      </x:c>
      <x:c r="H20" s="38" t="str">
        <x:v>Reservations and room lines persist transactionally with rate snapshots.</x:v>
      </x:c>
      <x:c r="I20" s="42" t="str">
        <x:v>Not Started</x:v>
      </x:c>
      <x:c r="J20" s="38" t="str"/>
    </x:row>
    <x:row r="21" ht="48" customHeight="1">
      <x:c r="A21" s="42" t="str">
        <x:v>PBI-16</x:v>
      </x:c>
      <x:c r="B21" s="38" t="str">
        <x:v>Add validation, exception handling, sample data, and unit tests</x:v>
      </x:c>
      <x:c r="C21" s="42" t="str">
        <x:v>Must</x:v>
      </x:c>
      <x:c r="D21" s="42" t="n">
        <x:v>3</x:v>
      </x:c>
      <x:c r="E21" s="42" t="n">
        <x:v>8</x:v>
      </x:c>
      <x:c r="F21" s="38" t="str">
        <x:v>PBI-11–15</x:v>
      </x:c>
      <x:c r="G21" s="38" t="str">
        <x:v>US-24</x:v>
      </x:c>
      <x:c r="H21" s="38" t="str">
        <x:v>Core rules have automated tests and understandable errors.</x:v>
      </x:c>
      <x:c r="I21" s="42" t="str">
        <x:v>Not Started</x:v>
      </x:c>
      <x:c r="J21" s="38" t="str"/>
    </x:row>
    <x:row r="22" ht="48" customHeight="1">
      <x:c r="A22" s="42" t="str">
        <x:v>PBI-17</x:v>
      </x:c>
      <x:c r="B22" s="38" t="str">
        <x:v>Develop employee web login and navigation</x:v>
      </x:c>
      <x:c r="C22" s="42" t="str">
        <x:v>Must</x:v>
      </x:c>
      <x:c r="D22" s="42" t="n">
        <x:v>4</x:v>
      </x:c>
      <x:c r="E22" s="42" t="n">
        <x:v>5</x:v>
      </x:c>
      <x:c r="F22" s="38" t="str">
        <x:v>PBI-11</x:v>
      </x:c>
      <x:c r="G22" s="38" t="str">
        <x:v>US-01; US-02; US-24</x:v>
      </x:c>
      <x:c r="H22" s="38" t="str">
        <x:v>Interface adapts to role permissions.</x:v>
      </x:c>
      <x:c r="I22" s="42" t="str">
        <x:v>Not Started</x:v>
      </x:c>
      <x:c r="J22" s="38" t="str"/>
    </x:row>
    <x:row r="23" ht="48" customHeight="1">
      <x:c r="A23" s="42" t="str">
        <x:v>PBI-18</x:v>
      </x:c>
      <x:c r="B23" s="38" t="str">
        <x:v>Develop room, rate, and guest management pages</x:v>
      </x:c>
      <x:c r="C23" s="42" t="str">
        <x:v>Must</x:v>
      </x:c>
      <x:c r="D23" s="42" t="n">
        <x:v>4</x:v>
      </x:c>
      <x:c r="E23" s="42" t="n">
        <x:v>8</x:v>
      </x:c>
      <x:c r="F23" s="38" t="str">
        <x:v>PBI-12; PBI-13</x:v>
      </x:c>
      <x:c r="G23" s="38" t="str">
        <x:v>US-03; US-04; US-06; US-07</x:v>
      </x:c>
      <x:c r="H23" s="38" t="str">
        <x:v>Authorized users can complete master-data workflows through the UI.</x:v>
      </x:c>
      <x:c r="I23" s="42" t="str">
        <x:v>Not Started</x:v>
      </x:c>
      <x:c r="J23" s="38" t="str"/>
    </x:row>
    <x:row r="24" ht="48" customHeight="1">
      <x:c r="A24" s="42" t="str">
        <x:v>PBI-19</x:v>
      </x:c>
      <x:c r="B24" s="38" t="str">
        <x:v>Develop availability and reservation pages</x:v>
      </x:c>
      <x:c r="C24" s="42" t="str">
        <x:v>Must</x:v>
      </x:c>
      <x:c r="D24" s="42" t="n">
        <x:v>4</x:v>
      </x:c>
      <x:c r="E24" s="42" t="n">
        <x:v>13</x:v>
      </x:c>
      <x:c r="F24" s="38" t="str">
        <x:v>PBI-14; PBI-15</x:v>
      </x:c>
      <x:c r="G24" s="38" t="str">
        <x:v>US-05; US-08; US-09; US-10</x:v>
      </x:c>
      <x:c r="H24" s="38" t="str">
        <x:v>Receptionist can search, create, modify, and cancel reservations.</x:v>
      </x:c>
      <x:c r="I24" s="42" t="str">
        <x:v>Not Started</x:v>
      </x:c>
      <x:c r="J24" s="38" t="str"/>
    </x:row>
    <x:row r="25" ht="48" customHeight="1">
      <x:c r="A25" s="42" t="str">
        <x:v>PBI-20</x:v>
      </x:c>
      <x:c r="B25" s="38" t="str">
        <x:v>Implement search, filtering, and pagination</x:v>
      </x:c>
      <x:c r="C25" s="42" t="str">
        <x:v>Should</x:v>
      </x:c>
      <x:c r="D25" s="42" t="n">
        <x:v>4</x:v>
      </x:c>
      <x:c r="E25" s="42" t="n">
        <x:v>5</x:v>
      </x:c>
      <x:c r="F25" s="38" t="str">
        <x:v>PBI-18; PBI-19</x:v>
      </x:c>
      <x:c r="G25" s="38" t="str">
        <x:v>US-05; US-07; US-20; US-22</x:v>
      </x:c>
      <x:c r="H25" s="38" t="str">
        <x:v>Lists remain usable with realistic historical data.</x:v>
      </x:c>
      <x:c r="I25" s="42" t="str">
        <x:v>Not Started</x:v>
      </x:c>
      <x:c r="J25" s="38" t="str"/>
    </x:row>
    <x:row r="26" ht="48" customHeight="1">
      <x:c r="A26" s="42" t="str">
        <x:v>PBI-21</x:v>
      </x:c>
      <x:c r="B26" s="38" t="str">
        <x:v>Implement physical room assignment</x:v>
      </x:c>
      <x:c r="C26" s="42" t="str">
        <x:v>Must</x:v>
      </x:c>
      <x:c r="D26" s="42" t="n">
        <x:v>4</x:v>
      </x:c>
      <x:c r="E26" s="42" t="n">
        <x:v>8</x:v>
      </x:c>
      <x:c r="F26" s="38" t="str">
        <x:v>PBI-14; PBI-15</x:v>
      </x:c>
      <x:c r="G26" s="38" t="str">
        <x:v>US-11</x:v>
      </x:c>
      <x:c r="H26" s="38" t="str">
        <x:v>Conflicting or incompatible assignments are prevented.</x:v>
      </x:c>
      <x:c r="I26" s="42" t="str">
        <x:v>Not Started</x:v>
      </x:c>
      <x:c r="J26" s="38" t="str"/>
    </x:row>
    <x:row r="27" ht="48" customHeight="1">
      <x:c r="A27" s="42" t="str">
        <x:v>PBI-22</x:v>
      </x:c>
      <x:c r="B27" s="38" t="str">
        <x:v>Implement check-in workflow</x:v>
      </x:c>
      <x:c r="C27" s="42" t="str">
        <x:v>Must</x:v>
      </x:c>
      <x:c r="D27" s="42" t="n">
        <x:v>4</x:v>
      </x:c>
      <x:c r="E27" s="42" t="n">
        <x:v>8</x:v>
      </x:c>
      <x:c r="F27" s="38" t="str">
        <x:v>PBI-21</x:v>
      </x:c>
      <x:c r="G27" s="38" t="str">
        <x:v>US-12</x:v>
      </x:c>
      <x:c r="H27" s="38" t="str">
        <x:v>All required rooms are assigned and ready; reservation status, actual time, and room occupancy statuses update transactionally.</x:v>
      </x:c>
      <x:c r="I27" s="42" t="str">
        <x:v>Not Started</x:v>
      </x:c>
      <x:c r="J27" s="38" t="str"/>
    </x:row>
    <x:row r="28" ht="48" customHeight="1">
      <x:c r="A28" s="42" t="str">
        <x:v>PBI-23</x:v>
      </x:c>
      <x:c r="B28" s="38" t="str">
        <x:v>Implement payment and balance tracking</x:v>
      </x:c>
      <x:c r="C28" s="42" t="str">
        <x:v>Must</x:v>
      </x:c>
      <x:c r="D28" s="42" t="n">
        <x:v>5</x:v>
      </x:c>
      <x:c r="E28" s="42" t="n">
        <x:v>8</x:v>
      </x:c>
      <x:c r="F28" s="38" t="str">
        <x:v>PBI-15</x:v>
      </x:c>
      <x:c r="G28" s="38" t="str">
        <x:v>US-13; US-14; US-22</x:v>
      </x:c>
      <x:c r="H28" s="38" t="str">
        <x:v>Deposits, payments, refunds, totals, and balances are correct and auditable.</x:v>
      </x:c>
      <x:c r="I28" s="42" t="str">
        <x:v>Not Started</x:v>
      </x:c>
      <x:c r="J28" s="38" t="str"/>
    </x:row>
    <x:row r="29" ht="48" customHeight="1">
      <x:c r="A29" s="42" t="str">
        <x:v>PBI-24</x:v>
      </x:c>
      <x:c r="B29" s="38" t="str">
        <x:v>Implement check-out workflow</x:v>
      </x:c>
      <x:c r="C29" s="42" t="str">
        <x:v>Must</x:v>
      </x:c>
      <x:c r="D29" s="42" t="n">
        <x:v>5</x:v>
      </x:c>
      <x:c r="E29" s="42" t="n">
        <x:v>8</x:v>
      </x:c>
      <x:c r="F29" s="38" t="str">
        <x:v>PBI-22; PBI-23</x:v>
      </x:c>
      <x:c r="G29" s="38" t="str">
        <x:v>US-15</x:v>
      </x:c>
      <x:c r="H29" s="38" t="str">
        <x:v>Final account is shown; reservation is checked out as one stay operation; assigned rooms become vacant and dirty.</x:v>
      </x:c>
      <x:c r="I29" s="42" t="str">
        <x:v>Not Started</x:v>
      </x:c>
      <x:c r="J29" s="38" t="str"/>
    </x:row>
    <x:row r="30" ht="48" customHeight="1">
      <x:c r="A30" s="42" t="str">
        <x:v>PBI-25</x:v>
      </x:c>
      <x:c r="B30" s="38" t="str">
        <x:v>Implement housekeeping work list and room-status history</x:v>
      </x:c>
      <x:c r="C30" s="42" t="str">
        <x:v>Must</x:v>
      </x:c>
      <x:c r="D30" s="42" t="n">
        <x:v>5</x:v>
      </x:c>
      <x:c r="E30" s="42" t="n">
        <x:v>8</x:v>
      </x:c>
      <x:c r="F30" s="38" t="str">
        <x:v>PBI-12; PBI-24</x:v>
      </x:c>
      <x:c r="G30" s="38" t="str">
        <x:v>US-16; US-17; US-18</x:v>
      </x:c>
      <x:c r="H30" s="38" t="str">
        <x:v>Housekeeping updates are visible to front desk and historically recorded.</x:v>
      </x:c>
      <x:c r="I30" s="42" t="str">
        <x:v>Not Started</x:v>
      </x:c>
      <x:c r="J30" s="38" t="str"/>
    </x:row>
    <x:row r="31" ht="48" customHeight="1">
      <x:c r="A31" s="42" t="str">
        <x:v>PBI-26</x:v>
      </x:c>
      <x:c r="B31" s="38" t="str">
        <x:v>Implement operational reports</x:v>
      </x:c>
      <x:c r="C31" s="42" t="str">
        <x:v>Must</x:v>
      </x:c>
      <x:c r="D31" s="42" t="n">
        <x:v>5</x:v>
      </x:c>
      <x:c r="E31" s="42" t="n">
        <x:v>8</x:v>
      </x:c>
      <x:c r="F31" s="38" t="str">
        <x:v>PBI-15; PBI-22; PBI-24</x:v>
      </x:c>
      <x:c r="G31" s="38" t="str">
        <x:v>US-19; US-20; US-21</x:v>
      </x:c>
      <x:c r="H31" s="38" t="str">
        <x:v>Occupancy, arrivals, departures, and in-house reports are available.</x:v>
      </x:c>
      <x:c r="I31" s="42" t="str">
        <x:v>Not Started</x:v>
      </x:c>
      <x:c r="J31" s="38" t="str"/>
    </x:row>
    <x:row r="32" ht="48" customHeight="1">
      <x:c r="A32" s="42" t="str">
        <x:v>PBI-27</x:v>
      </x:c>
      <x:c r="B32" s="38" t="str">
        <x:v>Implement financial reports</x:v>
      </x:c>
      <x:c r="C32" s="42" t="str">
        <x:v>Must</x:v>
      </x:c>
      <x:c r="D32" s="42" t="n">
        <x:v>5</x:v>
      </x:c>
      <x:c r="E32" s="42" t="n">
        <x:v>8</x:v>
      </x:c>
      <x:c r="F32" s="38" t="str">
        <x:v>PBI-23</x:v>
      </x:c>
      <x:c r="G32" s="38" t="str">
        <x:v>US-22</x:v>
      </x:c>
      <x:c r="H32" s="38" t="str">
        <x:v>Payments, refunds, revenue, and balances can be filtered and reconciled to reservation balances.</x:v>
      </x:c>
      <x:c r="I32" s="42" t="str">
        <x:v>Not Started</x:v>
      </x:c>
      <x:c r="J32" s="38" t="str"/>
    </x:row>
    <x:row r="33" ht="48" customHeight="1">
      <x:c r="A33" s="42" t="str">
        <x:v>PBI-28</x:v>
      </x:c>
      <x:c r="B33" s="38" t="str">
        <x:v>Implement audit log and review page</x:v>
      </x:c>
      <x:c r="C33" s="42" t="str">
        <x:v>Must</x:v>
      </x:c>
      <x:c r="D33" s="42" t="n">
        <x:v>5</x:v>
      </x:c>
      <x:c r="E33" s="42" t="n">
        <x:v>5</x:v>
      </x:c>
      <x:c r="F33" s="38" t="str">
        <x:v>PBI-11; core modules</x:v>
      </x:c>
      <x:c r="G33" s="38" t="str">
        <x:v>US-23</x:v>
      </x:c>
      <x:c r="H33" s="38" t="str">
        <x:v>Significant actions are immutable and searchable by authorized roles.</x:v>
      </x:c>
      <x:c r="I33" s="42" t="str">
        <x:v>Not Started</x:v>
      </x:c>
      <x:c r="J33" s="38" t="str"/>
    </x:row>
    <x:row r="34" ht="48" customHeight="1">
      <x:c r="A34" s="42" t="str">
        <x:v>PBI-29</x:v>
      </x:c>
      <x:c r="B34" s="38" t="str">
        <x:v>Complete functional and integration tests</x:v>
      </x:c>
      <x:c r="C34" s="42" t="str">
        <x:v>Must</x:v>
      </x:c>
      <x:c r="D34" s="42" t="n">
        <x:v>6</x:v>
      </x:c>
      <x:c r="E34" s="42" t="n">
        <x:v>13</x:v>
      </x:c>
      <x:c r="F34" s="38" t="str">
        <x:v>PBI-17–28</x:v>
      </x:c>
      <x:c r="G34" s="38" t="str">
        <x:v>US-01–US-24</x:v>
      </x:c>
      <x:c r="H34" s="38" t="str">
        <x:v>Approved business scenarios execute successfully in automated or documented tests.</x:v>
      </x:c>
      <x:c r="I34" s="42" t="str">
        <x:v>Not Started</x:v>
      </x:c>
      <x:c r="J34" s="38" t="str"/>
    </x:row>
    <x:row r="35" ht="48" customHeight="1">
      <x:c r="A35" s="42" t="str">
        <x:v>PBI-30</x:v>
      </x:c>
      <x:c r="B35" s="38" t="str">
        <x:v>Optimize queries and correct defects</x:v>
      </x:c>
      <x:c r="C35" s="42" t="str">
        <x:v>Must</x:v>
      </x:c>
      <x:c r="D35" s="42" t="n">
        <x:v>6</x:v>
      </x:c>
      <x:c r="E35" s="42" t="n">
        <x:v>8</x:v>
      </x:c>
      <x:c r="F35" s="38" t="str">
        <x:v>PBI-29</x:v>
      </x:c>
      <x:c r="G35" s="38" t="str">
        <x:v>US-24</x:v>
      </x:c>
      <x:c r="H35" s="38" t="str">
        <x:v>Critical defects are resolved and target response times are measured.</x:v>
      </x:c>
      <x:c r="I35" s="42" t="str">
        <x:v>Not Started</x:v>
      </x:c>
      <x:c r="J35" s="38" t="str"/>
    </x:row>
    <x:row r="36" ht="48" customHeight="1">
      <x:c r="A36" s="42" t="str">
        <x:v>PBI-31</x:v>
      </x:c>
      <x:c r="B36" s="38" t="str">
        <x:v>Create Docker deployment and backup procedure</x:v>
      </x:c>
      <x:c r="C36" s="42" t="str">
        <x:v>Must</x:v>
      </x:c>
      <x:c r="D36" s="42" t="n">
        <x:v>6</x:v>
      </x:c>
      <x:c r="E36" s="42" t="n">
        <x:v>8</x:v>
      </x:c>
      <x:c r="F36" s="38" t="str">
        <x:v>PBI-29</x:v>
      </x:c>
      <x:c r="G36" s="38" t="str">
        <x:v>—</x:v>
      </x:c>
      <x:c r="H36" s="38" t="str">
        <x:v>Application and database can be deployed in a clean environment.</x:v>
      </x:c>
      <x:c r="I36" s="42" t="str">
        <x:v>Not Started</x:v>
      </x:c>
      <x:c r="J36" s="38" t="str"/>
    </x:row>
    <x:row r="37" ht="48" customHeight="1">
      <x:c r="A37" s="42" t="str">
        <x:v>PBI-32</x:v>
      </x:c>
      <x:c r="B37" s="38" t="str">
        <x:v>Prepare user and administrator manuals</x:v>
      </x:c>
      <x:c r="C37" s="42" t="str">
        <x:v>Must</x:v>
      </x:c>
      <x:c r="D37" s="42" t="n">
        <x:v>7</x:v>
      </x:c>
      <x:c r="E37" s="42" t="n">
        <x:v>8</x:v>
      </x:c>
      <x:c r="F37" s="38" t="str">
        <x:v>Stable system</x:v>
      </x:c>
      <x:c r="G37" s="38" t="str">
        <x:v>—</x:v>
      </x:c>
      <x:c r="H37" s="38" t="str">
        <x:v>Manuals cover routine operation, roles, configuration, backup, and recovery.</x:v>
      </x:c>
      <x:c r="I37" s="42" t="str">
        <x:v>Not Started</x:v>
      </x:c>
      <x:c r="J37" s="38" t="str"/>
    </x:row>
    <x:row r="38" ht="48" customHeight="1">
      <x:c r="A38" s="42" t="str">
        <x:v>PBI-33</x:v>
      </x:c>
      <x:c r="B38" s="38" t="str">
        <x:v>Synchronize UML, database, and implementation documentation</x:v>
      </x:c>
      <x:c r="C38" s="42" t="str">
        <x:v>Must</x:v>
      </x:c>
      <x:c r="D38" s="42" t="n">
        <x:v>7</x:v>
      </x:c>
      <x:c r="E38" s="42" t="n">
        <x:v>5</x:v>
      </x:c>
      <x:c r="F38" s="38" t="str">
        <x:v>Stable system</x:v>
      </x:c>
      <x:c r="G38" s="38" t="str">
        <x:v>US-01–US-24</x:v>
      </x:c>
      <x:c r="H38" s="38" t="str">
        <x:v>All diagrams and descriptions correspond to the actual application.</x:v>
      </x:c>
      <x:c r="I38" s="42" t="str">
        <x:v>Not Started</x:v>
      </x:c>
      <x:c r="J38" s="38" t="str"/>
    </x:row>
    <x:row r="39" ht="48" customHeight="1">
      <x:c r="A39" s="42" t="str">
        <x:v>PBI-34</x:v>
      </x:c>
      <x:c r="B39" s="38" t="str">
        <x:v>Prepare thesis draft and preliminary presentation</x:v>
      </x:c>
      <x:c r="C39" s="42" t="str">
        <x:v>Must</x:v>
      </x:c>
      <x:c r="D39" s="42" t="n">
        <x:v>7</x:v>
      </x:c>
      <x:c r="E39" s="42" t="n">
        <x:v>13</x:v>
      </x:c>
      <x:c r="F39" s="38" t="str">
        <x:v>PBI-32; PBI-33</x:v>
      </x:c>
      <x:c r="G39" s="38" t="str">
        <x:v>US-01–US-24</x:v>
      </x:c>
      <x:c r="H39" s="38" t="str">
        <x:v>Draft explains analysis, design, implementation, and testing.</x:v>
      </x:c>
      <x:c r="I39" s="42" t="str">
        <x:v>Not Started</x:v>
      </x:c>
      <x:c r="J39" s="38" t="str"/>
    </x:row>
    <x:row r="40" ht="48" customHeight="1">
      <x:c r="A40" s="42" t="str">
        <x:v>PBI-35</x:v>
      </x:c>
      <x:c r="B40" s="38" t="str">
        <x:v>Finalize application, thesis, presentation, and defense demo</x:v>
      </x:c>
      <x:c r="C40" s="42" t="str">
        <x:v>Must</x:v>
      </x:c>
      <x:c r="D40" s="42" t="n">
        <x:v>8</x:v>
      </x:c>
      <x:c r="E40" s="42" t="n">
        <x:v>13</x:v>
      </x:c>
      <x:c r="F40" s="38" t="str">
        <x:v>All previous items</x:v>
      </x:c>
      <x:c r="G40" s="38" t="str">
        <x:v>US-01–US-24</x:v>
      </x:c>
      <x:c r="H40" s="38" t="str">
        <x:v>All artifacts are consistent and the system can be deployed and demonstrated from scratch.</x:v>
      </x:c>
      <x:c r="I40" s="42" t="str">
        <x:v>Not Started</x:v>
      </x:c>
      <x:c r="J40" s="38" t="str"/>
    </x:row>
    <x:row r="41" ht="42" customHeight="1">
      <x:c r="A41" s="63" t="str">
        <x:v>PBI-36</x:v>
      </x:c>
      <x:c r="B41" s="63" t="str">
        <x:v>Prepare initial software architecture diagram</x:v>
      </x:c>
      <x:c r="C41" s="63" t="str">
        <x:v>Must</x:v>
      </x:c>
      <x:c r="D41" s="63" t="n">
        <x:v>1</x:v>
      </x:c>
      <x:c r="E41" s="63" t="n">
        <x:v>2</x:v>
      </x:c>
      <x:c r="F41" s="63" t="str">
        <x:v>PBI-01</x:v>
      </x:c>
      <x:c r="G41" s="63" t="str">
        <x:v>—</x:v>
      </x:c>
      <x:c r="H41" s="63" t="str">
        <x:v>Editable layered architecture diagram is consistent with the SRS and technology stack.</x:v>
      </x:c>
      <x:c r="I41" s="63" t="str">
        <x:v>Ready for Review</x:v>
      </x:c>
      <x:c r="J41" s="63" t="str">
        <x:v>Added during internal Sprint 1 review.</x:v>
      </x:c>
    </x:row>
    <x:row r="42" ht="42" customHeight="1">
      <x:c r="A42" s="63" t="str">
        <x:v>PBI-37</x:v>
      </x:c>
      <x:c r="B42" s="63" t="str">
        <x:v>Prepare UML Class Diagram</x:v>
      </x:c>
      <x:c r="C42" s="63" t="str">
        <x:v>Must</x:v>
      </x:c>
      <x:c r="D42" s="63" t="n">
        <x:v>2</x:v>
      </x:c>
      <x:c r="E42" s="63" t="n">
        <x:v>5</x:v>
      </x:c>
      <x:c r="F42" s="63" t="str">
        <x:v>PBI-10</x:v>
      </x:c>
      <x:c r="G42" s="63" t="str">
        <x:v>—</x:v>
      </x:c>
      <x:c r="H42" s="63" t="str">
        <x:v>Class diagram represents main domain entities and relationships implemented in Sprint 2.</x:v>
      </x:c>
      <x:c r="I42" s="63" t="str">
        <x:v>Not Started</x:v>
      </x:c>
      <x:c r="J42" s="63"/>
    </x:row>
    <x:row r="43" ht="42" customHeight="1">
      <x:c r="A43" s="63" t="str">
        <x:v>PBI-38</x:v>
      </x:c>
      <x:c r="B43" s="63" t="str">
        <x:v>Prepare UML Package Diagram</x:v>
      </x:c>
      <x:c r="C43" s="63" t="str">
        <x:v>Must</x:v>
      </x:c>
      <x:c r="D43" s="63" t="n">
        <x:v>2</x:v>
      </x:c>
      <x:c r="E43" s="63" t="n">
        <x:v>3</x:v>
      </x:c>
      <x:c r="F43" s="63" t="str">
        <x:v>PBI-10</x:v>
      </x:c>
      <x:c r="G43" s="63" t="str">
        <x:v>—</x:v>
      </x:c>
      <x:c r="H43" s="63" t="str">
        <x:v>Package diagram explains presentation, service, domain, and data-access responsibilities.</x:v>
      </x:c>
      <x:c r="I43" s="63" t="str">
        <x:v>Not Started</x:v>
      </x:c>
      <x:c r="J43" s="63"/>
    </x:row>
    <x:row r="44" ht="42" customHeight="1">
      <x:c r="A44" s="63" t="str">
        <x:v>PBI-39</x:v>
      </x:c>
      <x:c r="B44" s="63" t="str">
        <x:v>Prepare project installation and build guide</x:v>
      </x:c>
      <x:c r="C44" s="63" t="str">
        <x:v>Must</x:v>
      </x:c>
      <x:c r="D44" s="63" t="n">
        <x:v>2</x:v>
      </x:c>
      <x:c r="E44" s="63" t="n">
        <x:v>3</x:v>
      </x:c>
      <x:c r="F44" s="63" t="str">
        <x:v>PBI-08; PBI-09</x:v>
      </x:c>
      <x:c r="G44" s="63" t="str">
        <x:v>—</x:v>
      </x:c>
      <x:c r="H44" s="63" t="str">
        <x:v>A clean environment can build, start, and connect the application to PostgreSQL.</x:v>
      </x:c>
      <x:c r="I44" s="63" t="str">
        <x:v>Not Started</x:v>
      </x:c>
      <x:c r="J44" s="63"/>
    </x:row>
    <x:row r="45" ht="42" customHeight="1">
      <x:c r="A45" s="63" t="str">
        <x:v>PBI-40</x:v>
      </x:c>
      <x:c r="B45" s="63" t="str">
        <x:v>Prepare UML Sequence Diagram</x:v>
      </x:c>
      <x:c r="C45" s="63" t="str">
        <x:v>Must</x:v>
      </x:c>
      <x:c r="D45" s="63" t="n">
        <x:v>3</x:v>
      </x:c>
      <x:c r="E45" s="63" t="n">
        <x:v>3</x:v>
      </x:c>
      <x:c r="F45" s="63" t="str">
        <x:v>Core business logic</x:v>
      </x:c>
      <x:c r="G45" s="63" t="str">
        <x:v>—</x:v>
      </x:c>
      <x:c r="H45" s="63" t="str">
        <x:v>Sequence diagram corresponds to one implemented key business interaction.</x:v>
      </x:c>
      <x:c r="I45" s="63" t="str">
        <x:v>Not Started</x:v>
      </x:c>
      <x:c r="J45" s="63"/>
    </x:row>
    <x:row r="46" ht="42" customHeight="1">
      <x:c r="A46" s="63" t="str">
        <x:v>PBI-41</x:v>
      </x:c>
      <x:c r="B46" s="63" t="str">
        <x:v>Prepare UML Activity Diagram</x:v>
      </x:c>
      <x:c r="C46" s="63" t="str">
        <x:v>Must</x:v>
      </x:c>
      <x:c r="D46" s="63" t="n">
        <x:v>4</x:v>
      </x:c>
      <x:c r="E46" s="63" t="n">
        <x:v>3</x:v>
      </x:c>
      <x:c r="F46" s="63" t="str">
        <x:v>Primary UI workflow</x:v>
      </x:c>
      <x:c r="G46" s="63" t="str">
        <x:v>—</x:v>
      </x:c>
      <x:c r="H46" s="63" t="str">
        <x:v>Activity diagram corresponds to an implemented primary user workflow.</x:v>
      </x:c>
      <x:c r="I46" s="63" t="str">
        <x:v>Not Started</x:v>
      </x:c>
      <x:c r="J46" s="63"/>
    </x:row>
    <x:row r="47" ht="42" customHeight="1">
      <x:c r="A47" s="63" t="str">
        <x:v>PBI-42</x:v>
      </x:c>
      <x:c r="B47" s="63" t="str">
        <x:v>Prepare UML Component Diagram</x:v>
      </x:c>
      <x:c r="C47" s="63" t="str">
        <x:v>Must</x:v>
      </x:c>
      <x:c r="D47" s="63" t="n">
        <x:v>5</x:v>
      </x:c>
      <x:c r="E47" s="63" t="n">
        <x:v>3</x:v>
      </x:c>
      <x:c r="F47" s="63" t="str">
        <x:v>Integrated modules</x:v>
      </x:c>
      <x:c r="G47" s="63" t="str">
        <x:v>—</x:v>
      </x:c>
      <x:c r="H47" s="63" t="str">
        <x:v>Component diagram represents implemented software components and dependencies.</x:v>
      </x:c>
      <x:c r="I47" s="63" t="str">
        <x:v>Not Started</x:v>
      </x:c>
      <x:c r="J47" s="63"/>
    </x:row>
    <x:row r="48" ht="42" customHeight="1">
      <x:c r="A48" s="63" t="str">
        <x:v>PBI-43</x:v>
      </x:c>
      <x:c r="B48" s="63" t="str">
        <x:v>Prepare UML Deployment Diagram</x:v>
      </x:c>
      <x:c r="C48" s="63" t="str">
        <x:v>Must</x:v>
      </x:c>
      <x:c r="D48" s="63" t="n">
        <x:v>6</x:v>
      </x:c>
      <x:c r="E48" s="63" t="n">
        <x:v>3</x:v>
      </x:c>
      <x:c r="F48" s="63" t="str">
        <x:v>PBI-31</x:v>
      </x:c>
      <x:c r="G48" s="63" t="str">
        <x:v>—</x:v>
      </x:c>
      <x:c r="H48" s="63" t="str">
        <x:v>Deployment diagram represents the actual deployment environment.</x:v>
      </x:c>
      <x:c r="I48" s="63" t="str">
        <x:v>Not Started</x:v>
      </x:c>
      <x:c r="J48" s="63"/>
    </x:row>
    <x:row r="49" ht="42" customHeight="1">
      <x:c r="A49" s="63" t="str">
        <x:v>PBI-44</x:v>
      </x:c>
      <x:c r="B49" s="63" t="str">
        <x:v>Prepare deployment guide</x:v>
      </x:c>
      <x:c r="C49" s="63" t="str">
        <x:v>Must</x:v>
      </x:c>
      <x:c r="D49" s="63" t="n">
        <x:v>6</x:v>
      </x:c>
      <x:c r="E49" s="63" t="n">
        <x:v>3</x:v>
      </x:c>
      <x:c r="F49" s="63" t="str">
        <x:v>PBI-31</x:v>
      </x:c>
      <x:c r="G49" s="63" t="str">
        <x:v>—</x:v>
      </x:c>
      <x:c r="H49" s="63" t="str">
        <x:v>Guide documents deployment, required versions, configuration, backup, and restore steps.</x:v>
      </x:c>
      <x:c r="I49" s="63" t="str">
        <x:v>Not Started</x:v>
      </x:c>
      <x:c r="J49" s="63"/>
    </x:row>
    <x:row r="50" ht="42" customHeight="1">
      <x:c r="A50" s="63" t="str">
        <x:v>PBI-45</x:v>
      </x:c>
      <x:c r="B50" s="63" t="str">
        <x:v>Add CSV export for selected reports</x:v>
      </x:c>
      <x:c r="C50" s="63" t="str">
        <x:v>Should</x:v>
      </x:c>
      <x:c r="D50" s="63" t="n">
        <x:v>5</x:v>
      </x:c>
      <x:c r="E50" s="63" t="n">
        <x:v>3</x:v>
      </x:c>
      <x:c r="F50" s="63" t="str">
        <x:v>PBI-26; PBI-27</x:v>
      </x:c>
      <x:c r="G50" s="63" t="str">
        <x:v>US-19; US-22</x:v>
      </x:c>
      <x:c r="H50" s="63" t="str">
        <x:v>Selected operational or financial reports can be exported to CSV.</x:v>
      </x:c>
      <x:c r="I50" s="63" t="str">
        <x:v>Not Started</x:v>
      </x:c>
      <x:c r="J50" s="63"/>
    </x:row>
  </x:sheetData>
  <x:mergeCells>
    <x:mergeCell ref="A1:J1"/>
    <x:mergeCell ref="A2:J2"/>
    <x:mergeCell ref="A3:J3"/>
  </x:mergeCells>
  <x:conditionalFormatting sqref="I6:I40">
    <x:cfRule type="expression" dxfId="0" priority="1">
      <x:formula>I6="Done"</x:formula>
    </x:cfRule>
    <x:cfRule type="expression" dxfId="1" priority="2">
      <x:formula>I6="Ready for Review"</x:formula>
    </x:cfRule>
    <x:cfRule type="expression" dxfId="2" priority="3">
      <x:formula>I6="In Progress"</x:formula>
    </x:cfRule>
    <x:cfRule type="expression" dxfId="3" priority="4">
      <x:formula>I6="Blocked"</x:formula>
    </x:cfRule>
  </x:conditionalFormatting>
  <x:conditionalFormatting sqref="C6:C40">
    <x:cfRule type="expression" dxfId="4" priority="5">
      <x:formula>C6="Must"</x:formula>
    </x:cfRule>
    <x:cfRule type="expression" dxfId="5" priority="6">
      <x:formula>C6="Should"</x:formula>
    </x:cfRule>
  </x:conditionalFormatting>
  <x:dataValidations count="5">
    <x:dataValidation type="list" sqref="C6:C40">
      <x:formula1>"Must,Should,Could"</x:formula1>
    </x:dataValidation>
    <x:dataValidation type="list" sqref="D6:D40">
      <x:formula1>"1,2,3,4,5,6,7,8"</x:formula1>
    </x:dataValidation>
    <x:dataValidation type="list" sqref="I6:I40">
      <x:formula1>"Not Started,In Progress,Ready for Review,Done,Blocked"</x:formula1>
    </x:dataValidation>
    <x:dataValidation type="list" sqref="C41:C50">
      <x:formula1>"Must,Should,Could,Future"</x:formula1>
    </x:dataValidation>
    <x:dataValidation type="list" sqref="I41:I50">
      <x:formula1>"Not Started,In Progress,Ready for Review,Done,Blocked"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4957c45ebf4e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6" hidden="0" customWidth="1"/>
    <x:col min="3" max="3" width="13" hidden="0" customWidth="1"/>
    <x:col min="4" max="4" width="13" hidden="0" customWidth="1"/>
    <x:col min="5" max="5" width="18" hidden="0" customWidth="1"/>
    <x:col min="6" max="6" width="10" hidden="0" customWidth="1"/>
    <x:col min="7" max="7" width="13" hidden="0" customWidth="1"/>
    <x:col min="8" max="8" width="12" hidden="0" customWidth="1"/>
  </x:cols>
  <x:sheetData>
    <x:row r="1" ht="30" customHeight="1">
      <x:c r="A1" s="4" t="str">
        <x:v>Sprint Summary Dashboard</x:v>
      </x:c>
      <x:c r="B1" s="4"/>
      <x:c r="C1" s="4"/>
      <x:c r="D1" s="4"/>
      <x:c r="E1" s="4"/>
      <x:c r="F1" s="4"/>
      <x:c r="G1" s="4"/>
      <x:c r="H1" s="4"/>
    </x:row>
    <x:row r="3" ht="32" customHeight="1">
      <x:c r="A3" s="30" t="str">
        <x:v>Sprint</x:v>
      </x:c>
      <x:c r="B3" s="30" t="str">
        <x:v>Main Goal</x:v>
      </x:c>
      <x:c r="C3" s="30" t="str">
        <x:v>Backlog Items</x:v>
      </x:c>
      <x:c r="D3" s="30" t="str">
        <x:v>Total Points</x:v>
      </x:c>
      <x:c r="E3" s="30" t="str">
        <x:v>Ready for Review</x:v>
      </x:c>
      <x:c r="F3" s="30" t="str">
        <x:v>Done</x:v>
      </x:c>
      <x:c r="G3" s="30" t="str">
        <x:v>Not Started</x:v>
      </x:c>
      <x:c r="H3" s="30" t="str">
        <x:v>Progress</x:v>
      </x:c>
    </x:row>
    <x:row r="4" ht="32" customHeight="1">
      <x:c r="A4" s="50" t="n">
        <x:v>1</x:v>
      </x:c>
      <x:c r="B4" s="46" t="str">
        <x:v>Requirements Analysis and System Design</x:v>
      </x:c>
      <x:c r="C4" s="50" t="n">
        <x:f>COUNTIF('Product Backlog'!$D$6:$D$50,A4)</x:f>
        <x:v>7</x:v>
      </x:c>
      <x:c r="D4" s="50" t="n">
        <x:f>SUMIF('Product Backlog'!$D$6:$D$50,A4,'Product Backlog'!$E$6:$E$50)</x:f>
        <x:v>31</x:v>
      </x:c>
      <x:c r="E4" s="50" t="n">
        <x:f>COUNTIFS('Product Backlog'!$D$6:$D$50,A4,'Product Backlog'!$I$6:$I$50,"Ready for Review")</x:f>
        <x:v>7</x:v>
      </x:c>
      <x:c r="F4" s="50" t="n">
        <x:f>COUNTIFS('Product Backlog'!$D$6:$D$50,A4,'Product Backlog'!$I$6:$I$50,"Done")</x:f>
        <x:v>0</x:v>
      </x:c>
      <x:c r="G4" s="50" t="n">
        <x:f>COUNTIFS('Product Backlog'!$D$6:$D$50,A4,'Product Backlog'!$I$6:$I$50,"Not Started")</x:f>
        <x:v>0</x:v>
      </x:c>
      <x:c r="H4" s="52" t="n">
        <x:f>IF(C4=0,0,(F4+0.5*E4)/C4)</x:f>
        <x:v>0.5</x:v>
      </x:c>
    </x:row>
    <x:row r="5" ht="32" customHeight="1">
      <x:c r="A5" s="50" t="n">
        <x:v>2</x:v>
      </x:c>
      <x:c r="B5" s="46" t="str">
        <x:v>Project Initialization and Software Architecture</x:v>
      </x:c>
      <x:c r="C5" s="50" t="n">
        <x:f>COUNTIF('Product Backlog'!$D$6:$D$50,A5)</x:f>
        <x:v>7</x:v>
      </x:c>
      <x:c r="D5" s="50" t="n">
        <x:f>SUMIF('Product Backlog'!$D$6:$D$50,A5,'Product Backlog'!$E$6:$E$50)</x:f>
        <x:v>26</x:v>
      </x:c>
      <x:c r="E5" s="50" t="n">
        <x:f>COUNTIFS('Product Backlog'!$D$6:$D$50,A5,'Product Backlog'!$I$6:$I$50,"Ready for Review")</x:f>
        <x:v>0</x:v>
      </x:c>
      <x:c r="F5" s="50" t="n">
        <x:f>COUNTIFS('Product Backlog'!$D$6:$D$50,A5,'Product Backlog'!$I$6:$I$50,"Done")</x:f>
        <x:v>0</x:v>
      </x:c>
      <x:c r="G5" s="50" t="n">
        <x:f>COUNTIFS('Product Backlog'!$D$6:$D$50,A5,'Product Backlog'!$I$6:$I$50,"Not Started")</x:f>
        <x:v>7</x:v>
      </x:c>
      <x:c r="H5" s="52" t="n">
        <x:f>IF(C5=0,0,(F5+0.5*E5)/C5)</x:f>
        <x:v>0</x:v>
      </x:c>
    </x:row>
    <x:row r="6" ht="32" customHeight="1">
      <x:c r="A6" s="50" t="n">
        <x:v>3</x:v>
      </x:c>
      <x:c r="B6" s="46" t="str">
        <x:v>Core Business Logic Implementation</x:v>
      </x:c>
      <x:c r="C6" s="50" t="n">
        <x:f>COUNTIF('Product Backlog'!$D$6:$D$50,A6)</x:f>
        <x:v>7</x:v>
      </x:c>
      <x:c r="D6" s="50" t="n">
        <x:f>SUMIF('Product Backlog'!$D$6:$D$50,A6,'Product Backlog'!$E$6:$E$50)</x:f>
        <x:v>53</x:v>
      </x:c>
      <x:c r="E6" s="50" t="n">
        <x:f>COUNTIFS('Product Backlog'!$D$6:$D$50,A6,'Product Backlog'!$I$6:$I$50,"Ready for Review")</x:f>
        <x:v>0</x:v>
      </x:c>
      <x:c r="F6" s="50" t="n">
        <x:f>COUNTIFS('Product Backlog'!$D$6:$D$50,A6,'Product Backlog'!$I$6:$I$50,"Done")</x:f>
        <x:v>0</x:v>
      </x:c>
      <x:c r="G6" s="50" t="n">
        <x:f>COUNTIFS('Product Backlog'!$D$6:$D$50,A6,'Product Backlog'!$I$6:$I$50,"Not Started")</x:f>
        <x:v>7</x:v>
      </x:c>
      <x:c r="H6" s="52" t="n">
        <x:f>IF(C6=0,0,(F6+0.5*E6)/C6)</x:f>
        <x:v>0</x:v>
      </x:c>
    </x:row>
    <x:row r="7" ht="32" customHeight="1">
      <x:c r="A7" s="50" t="n">
        <x:v>4</x:v>
      </x:c>
      <x:c r="B7" s="46" t="str">
        <x:v>Functional Expansion and User Interface</x:v>
      </x:c>
      <x:c r="C7" s="50" t="n">
        <x:f>COUNTIF('Product Backlog'!$D$6:$D$50,A7)</x:f>
        <x:v>7</x:v>
      </x:c>
      <x:c r="D7" s="50" t="n">
        <x:f>SUMIF('Product Backlog'!$D$6:$D$50,A7,'Product Backlog'!$E$6:$E$50)</x:f>
        <x:v>50</x:v>
      </x:c>
      <x:c r="E7" s="50" t="n">
        <x:f>COUNTIFS('Product Backlog'!$D$6:$D$50,A7,'Product Backlog'!$I$6:$I$50,"Ready for Review")</x:f>
        <x:v>0</x:v>
      </x:c>
      <x:c r="F7" s="50" t="n">
        <x:f>COUNTIFS('Product Backlog'!$D$6:$D$50,A7,'Product Backlog'!$I$6:$I$50,"Done")</x:f>
        <x:v>0</x:v>
      </x:c>
      <x:c r="G7" s="50" t="n">
        <x:f>COUNTIFS('Product Backlog'!$D$6:$D$50,A7,'Product Backlog'!$I$6:$I$50,"Not Started")</x:f>
        <x:v>7</x:v>
      </x:c>
      <x:c r="H7" s="52" t="n">
        <x:f>IF(C7=0,0,(F7+0.5*E7)/C7)</x:f>
        <x:v>0</x:v>
      </x:c>
    </x:row>
    <x:row r="8" ht="32" customHeight="1">
      <x:c r="A8" s="50" t="n">
        <x:v>5</x:v>
      </x:c>
      <x:c r="B8" s="46" t="str">
        <x:v>Feature Completion and System Integration</x:v>
      </x:c>
      <x:c r="C8" s="50" t="n">
        <x:f>COUNTIF('Product Backlog'!$D$6:$D$50,A8)</x:f>
        <x:v>8</x:v>
      </x:c>
      <x:c r="D8" s="50" t="n">
        <x:f>SUMIF('Product Backlog'!$D$6:$D$50,A8,'Product Backlog'!$E$6:$E$50)</x:f>
        <x:v>51</x:v>
      </x:c>
      <x:c r="E8" s="50" t="n">
        <x:f>COUNTIFS('Product Backlog'!$D$6:$D$50,A8,'Product Backlog'!$I$6:$I$50,"Ready for Review")</x:f>
        <x:v>0</x:v>
      </x:c>
      <x:c r="F8" s="50" t="n">
        <x:f>COUNTIFS('Product Backlog'!$D$6:$D$50,A8,'Product Backlog'!$I$6:$I$50,"Done")</x:f>
        <x:v>0</x:v>
      </x:c>
      <x:c r="G8" s="50" t="n">
        <x:f>COUNTIFS('Product Backlog'!$D$6:$D$50,A8,'Product Backlog'!$I$6:$I$50,"Not Started")</x:f>
        <x:v>8</x:v>
      </x:c>
      <x:c r="H8" s="52" t="n">
        <x:f>IF(C8=0,0,(F8+0.5*E8)/C8)</x:f>
        <x:v>0</x:v>
      </x:c>
    </x:row>
    <x:row r="9" ht="32" customHeight="1">
      <x:c r="A9" s="50" t="n">
        <x:v>6</x:v>
      </x:c>
      <x:c r="B9" s="46" t="str">
        <x:v>Quality Assurance and Deployment</x:v>
      </x:c>
      <x:c r="C9" s="50" t="n">
        <x:f>COUNTIF('Product Backlog'!$D$6:$D$50,A9)</x:f>
        <x:v>5</x:v>
      </x:c>
      <x:c r="D9" s="50" t="n">
        <x:f>SUMIF('Product Backlog'!$D$6:$D$50,A9,'Product Backlog'!$E$6:$E$50)</x:f>
        <x:v>35</x:v>
      </x:c>
      <x:c r="E9" s="50" t="n">
        <x:f>COUNTIFS('Product Backlog'!$D$6:$D$50,A9,'Product Backlog'!$I$6:$I$50,"Ready for Review")</x:f>
        <x:v>0</x:v>
      </x:c>
      <x:c r="F9" s="50" t="n">
        <x:f>COUNTIFS('Product Backlog'!$D$6:$D$50,A9,'Product Backlog'!$I$6:$I$50,"Done")</x:f>
        <x:v>0</x:v>
      </x:c>
      <x:c r="G9" s="50" t="n">
        <x:f>COUNTIFS('Product Backlog'!$D$6:$D$50,A9,'Product Backlog'!$I$6:$I$50,"Not Started")</x:f>
        <x:v>5</x:v>
      </x:c>
      <x:c r="H9" s="52" t="n">
        <x:f>IF(C9=0,0,(F9+0.5*E9)/C9)</x:f>
        <x:v>0</x:v>
      </x:c>
    </x:row>
    <x:row r="10" ht="32" customHeight="1">
      <x:c r="A10" s="50" t="n">
        <x:v>7</x:v>
      </x:c>
      <x:c r="B10" s="46" t="str">
        <x:v>Documentation and Final Preparation</x:v>
      </x:c>
      <x:c r="C10" s="50" t="n">
        <x:f>COUNTIF('Product Backlog'!$D$6:$D$50,A10)</x:f>
        <x:v>3</x:v>
      </x:c>
      <x:c r="D10" s="50" t="n">
        <x:f>SUMIF('Product Backlog'!$D$6:$D$50,A10,'Product Backlog'!$E$6:$E$50)</x:f>
        <x:v>26</x:v>
      </x:c>
      <x:c r="E10" s="50" t="n">
        <x:f>COUNTIFS('Product Backlog'!$D$6:$D$50,A10,'Product Backlog'!$I$6:$I$50,"Ready for Review")</x:f>
        <x:v>0</x:v>
      </x:c>
      <x:c r="F10" s="50" t="n">
        <x:f>COUNTIFS('Product Backlog'!$D$6:$D$50,A10,'Product Backlog'!$I$6:$I$50,"Done")</x:f>
        <x:v>0</x:v>
      </x:c>
      <x:c r="G10" s="50" t="n">
        <x:f>COUNTIFS('Product Backlog'!$D$6:$D$50,A10,'Product Backlog'!$I$6:$I$50,"Not Started")</x:f>
        <x:v>3</x:v>
      </x:c>
      <x:c r="H10" s="52" t="n">
        <x:f>IF(C10=0,0,(F10+0.5*E10)/C10)</x:f>
        <x:v>0</x:v>
      </x:c>
    </x:row>
    <x:row r="11" ht="32" customHeight="1">
      <x:c r="A11" s="50" t="n">
        <x:v>8</x:v>
      </x:c>
      <x:c r="B11" s="46" t="str">
        <x:v>Final Review and Pre-Defense</x:v>
      </x:c>
      <x:c r="C11" s="50" t="n">
        <x:f>COUNTIF('Product Backlog'!$D$6:$D$50,A11)</x:f>
        <x:v>1</x:v>
      </x:c>
      <x:c r="D11" s="50" t="n">
        <x:f>SUMIF('Product Backlog'!$D$6:$D$50,A11,'Product Backlog'!$E$6:$E$50)</x:f>
        <x:v>13</x:v>
      </x:c>
      <x:c r="E11" s="50" t="n">
        <x:f>COUNTIFS('Product Backlog'!$D$6:$D$50,A11,'Product Backlog'!$I$6:$I$50,"Ready for Review")</x:f>
        <x:v>0</x:v>
      </x:c>
      <x:c r="F11" s="50" t="n">
        <x:f>COUNTIFS('Product Backlog'!$D$6:$D$50,A11,'Product Backlog'!$I$6:$I$50,"Done")</x:f>
        <x:v>0</x:v>
      </x:c>
      <x:c r="G11" s="50" t="n">
        <x:f>COUNTIFS('Product Backlog'!$D$6:$D$50,A11,'Product Backlog'!$I$6:$I$50,"Not Started")</x:f>
        <x:v>1</x:v>
      </x:c>
      <x:c r="H11" s="52" t="n">
        <x:f>IF(C11=0,0,(F11+0.5*E11)/C11)</x:f>
        <x:v>0</x:v>
      </x:c>
    </x:row>
  </x:sheetData>
  <x:mergeCells>
    <x:mergeCell ref="A1:H1"/>
  </x:mergeCells>
  <x:conditionalFormatting sqref="H4:H1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{A765D564-74FE-619B-4266-4CF64AD727C3}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edc29ea7dca46ed"/>
  <x:tableParts count="1">
    <x:tablePart xmlns:r="http://schemas.openxmlformats.org/officeDocument/2006/relationships" r:id="Rfd15bc42a0064e7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765D564-74FE-619B-4266-4CF64AD727C3}">
            <x14:dataBar gradient="1">
              <x14:cfvo type="min"/>
              <x14:cfvo type="max"/>
              <x14:fillColor rgb="FF5B9BD5"/>
            </x14:dataBar>
          </x14:cfRule>
          <xm:sqref>H4:H11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25" hidden="0" customWidth="1"/>
    <x:col min="4" max="4" width="48" hidden="0" customWidth="1"/>
  </x:cols>
  <x:sheetData>
    <x:row r="1">
      <x:c r="A1" s="4" t="str">
        <x:v>How to Use This Product Backlog</x:v>
      </x:c>
      <x:c r="B1" s="4"/>
      <x:c r="C1" s="4"/>
      <x:c r="D1" s="4"/>
      <x:c r="E1" s="4"/>
      <x:c r="F1" s="4"/>
    </x:row>
    <x:row r="3" ht="42" customHeight="1">
      <x:c r="A3" s="55" t="str">
        <x:v>Step</x:v>
      </x:c>
      <x:c r="B3" s="55" t="str">
        <x:v>What to Do</x:v>
      </x:c>
      <x:c r="C3" s="55" t="str">
        <x:v>When</x:v>
      </x:c>
      <x:c r="D3" s="55" t="str">
        <x:v>Important Rule</x:v>
      </x:c>
    </x:row>
    <x:row r="4" ht="42" customHeight="1">
      <x:c r="A4" s="58" t="str">
        <x:v>1</x:v>
      </x:c>
      <x:c r="B4" s="58" t="str">
        <x:v>Open the Product Backlog sheet.</x:v>
      </x:c>
      <x:c r="C4" s="58" t="str">
        <x:v>At the start of every sprint.</x:v>
      </x:c>
      <x:c r="D4" s="58" t="str">
        <x:v>Do not delete previous items.</x:v>
      </x:c>
    </x:row>
    <x:row r="5" ht="42" customHeight="1">
      <x:c r="A5" s="58" t="str">
        <x:v>2</x:v>
      </x:c>
      <x:c r="B5" s="58" t="str">
        <x:v>Filter Planned Sprint to the current sprint.</x:v>
      </x:c>
      <x:c r="C5" s="58" t="str">
        <x:v>During sprint planning.</x:v>
      </x:c>
      <x:c r="D5" s="58" t="str">
        <x:v>Use the filter arrow in the header row.</x:v>
      </x:c>
    </x:row>
    <x:row r="6" ht="42" customHeight="1">
      <x:c r="A6" s="58" t="str">
        <x:v>3</x:v>
      </x:c>
      <x:c r="B6" s="58" t="str">
        <x:v>Update Status using the drop-down list.</x:v>
      </x:c>
      <x:c r="C6" s="58" t="str">
        <x:v>Whenever work state changes.</x:v>
      </x:c>
      <x:c r="D6" s="58" t="str">
        <x:v>Use Ready for Review before supervisor approval; use Done only after acceptance.</x:v>
      </x:c>
    </x:row>
    <x:row r="7" ht="42" customHeight="1">
      <x:c r="A7" s="58" t="str">
        <x:v>4</x:v>
      </x:c>
      <x:c r="B7" s="58" t="str">
        <x:v>Update Dependencies if one item must wait for another.</x:v>
      </x:c>
      <x:c r="C7" s="58" t="str">
        <x:v>When planning changes.</x:v>
      </x:c>
      <x:c r="D7" s="58" t="str">
        <x:v>Reference the PBI identifier, for example PBI-14.</x:v>
      </x:c>
    </x:row>
    <x:row r="8" ht="42" customHeight="1">
      <x:c r="A8" s="58" t="str">
        <x:v>5</x:v>
      </x:c>
      <x:c r="B8" s="58" t="str">
        <x:v>Write short factual notes in the Notes column.</x:v>
      </x:c>
      <x:c r="C8" s="58" t="str">
        <x:v>After feedback or scope changes.</x:v>
      </x:c>
      <x:c r="D8" s="58" t="str">
        <x:v>Record what changed and why.</x:v>
      </x:c>
    </x:row>
    <x:row r="9" ht="42" customHeight="1">
      <x:c r="A9" s="58" t="str">
        <x:v>6</x:v>
      </x:c>
      <x:c r="B9" s="58" t="str">
        <x:v>Review the Sprint Summary sheet.</x:v>
      </x:c>
      <x:c r="C9" s="58" t="str">
        <x:v>Before the Sprint Review.</x:v>
      </x:c>
      <x:c r="D9" s="58" t="str">
        <x:v>The summary and chart update from backlog formulas in Excel.</x:v>
      </x:c>
    </x:row>
    <x:row r="10" ht="42" customHeight="1">
      <x:c r="A10" s="58" t="str">
        <x:v>7</x:v>
      </x:c>
      <x:c r="B10" s="58" t="str">
        <x:v>Save a new version before major changes.</x:v>
      </x:c>
      <x:c r="C10" s="58" t="str">
        <x:v>After supervisor feedback.</x:v>
      </x:c>
      <x:c r="D10" s="58" t="str">
        <x:v>Use versioned file names only for formal review copies; keep one current working file.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e8b59247c3549c6"/>
  </x:tableParts>
</x:worksheet>
</file>